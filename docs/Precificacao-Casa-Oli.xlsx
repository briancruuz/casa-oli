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cificação" sheetId="1" r:id="rId1"/>
    <sheet name="Metas" sheetId="2" r:id="rId2"/>
  </sheets>
  <calcPr fullCalcOnLoad="1"/>
</workbook>
</file>

<file path=xl/styles.xml><?xml version="1.0" encoding="utf-8"?>
<styleSheet xmlns="http://schemas.openxmlformats.org/spreadsheetml/2006/main">
  <numFmts count="2">
    <numFmt numFmtId="164" formatCode="&quot;R$&quot;\ #,##0.00"/>
    <numFmt numFmtId="165" formatCode="0.0%"/>
  </numFmts>
  <fonts count="4">
    <font>
      <sz val="11"/>
      <name val="Calibri"/>
    </font>
    <font>
      <b/>
      <sz val="11"/>
      <name val="Calibri"/>
    </font>
    <font>
      <b/>
      <sz val="14"/>
      <color rgb="FFFFFFFF"/>
      <name val="Calibri"/>
    </font>
    <font>
      <i/>
      <sz val="10"/>
      <color rgb="FF7F7F7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8A7B1"/>
      </patternFill>
    </fill>
    <fill>
      <patternFill patternType="solid">
        <fgColor rgb="FFB76E79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0" fontId="1" fillId="2" borderId="0" xfId="0" applyFont="1" applyFill="1">
      <alignment wrapText="1" vertical="center"/>
    </xf>
    <xf numFmtId="0" fontId="2" fillId="3" borderId="0" xfId="0" applyFont="1" applyFill="1">
      <alignment vertical="center"/>
    </xf>
    <xf numFmtId="0" fontId="3" fillId="0" borderId="0" xfId="0" applyFont="1"/>
    <xf numFmtId="0" fontId="0" fillId="4" borderId="0" xfId="0" applyFill="1"/>
    <xf numFmtId="164" fontId="0" fillId="4" borderId="0" xfId="0" applyNumberForma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2" customWidth="1"/>
    <col min="2" max="14" width="15" customWidth="1"/>
  </cols>
  <sheetData>
    <row r="1">
      <c r="A1" s="6" t="inlineStr">
        <is>
          <t xml:space="preserve">CASA OLI — Planilha de Precificação</t>
        </is>
      </c>
    </row>
    <row r="2">
      <c r="A2" s="7" t="inlineStr">
        <is>
          <t xml:space="preserve">Regra de ouro: preço ≈ 3x o custo total. Preencha as células AZUIS (custos/tempo); o preço sai sozinho.</t>
        </is>
      </c>
    </row>
    <row r="4">
      <c r="A4" s="5" t="inlineStr">
        <is>
          <t xml:space="preserve">PARÂMETROS GERAIS</t>
        </is>
      </c>
    </row>
    <row r="5">
      <c r="A5" t="inlineStr">
        <is>
          <t xml:space="preserve">Valor da sua hora de trabalho (R$/h)</t>
        </is>
      </c>
      <c r="B5" s="8">
        <v>25</v>
      </c>
    </row>
    <row r="6">
      <c r="A6" t="inlineStr">
        <is>
          <t xml:space="preserve">Taxa de venda (cartão/plataforma) %</t>
        </is>
      </c>
      <c r="B6" s="3">
        <v>0.05</v>
      </c>
    </row>
    <row r="7">
      <c r="A7" t="inlineStr">
        <is>
          <t xml:space="preserve">Markup padrão (x)</t>
        </is>
      </c>
      <c r="B7" s="8">
        <v>3</v>
      </c>
    </row>
    <row r="9">
      <c r="A9" s="5" t="inlineStr">
        <is>
          <t xml:space="preserve">Produto</t>
        </is>
      </c>
      <c r="B9" s="5" t="inlineStr">
        <is>
          <t xml:space="preserve">Insumo base R$</t>
        </is>
      </c>
      <c r="C9" s="5" t="inlineStr">
        <is>
          <t xml:space="preserve">Sublimação/impressão R$</t>
        </is>
      </c>
      <c r="D9" s="5" t="inlineStr">
        <is>
          <t xml:space="preserve">Embalagem R$</t>
        </is>
      </c>
      <c r="E9" s="5" t="inlineStr">
        <is>
          <t xml:space="preserve">Outros insumos R$</t>
        </is>
      </c>
      <c r="F9" s="5" t="inlineStr">
        <is>
          <t xml:space="preserve">Custo materiais R$</t>
        </is>
      </c>
      <c r="G9" s="5" t="inlineStr">
        <is>
          <t xml:space="preserve">Tempo prod. (min)</t>
        </is>
      </c>
      <c r="H9" s="5" t="inlineStr">
        <is>
          <t xml:space="preserve">Custo mão de obra R$</t>
        </is>
      </c>
      <c r="I9" s="5" t="inlineStr">
        <is>
          <t xml:space="preserve">CUSTO TOTAL R$</t>
        </is>
      </c>
      <c r="J9" s="5" t="inlineStr">
        <is>
          <t xml:space="preserve">Preço sugerido R$</t>
        </is>
      </c>
      <c r="K9" s="5" t="inlineStr">
        <is>
          <t xml:space="preserve">Preço praticado R$</t>
        </is>
      </c>
      <c r="L9" s="5" t="inlineStr">
        <is>
          <t xml:space="preserve">Taxa venda R$</t>
        </is>
      </c>
      <c r="M9" s="5" t="inlineStr">
        <is>
          <t xml:space="preserve">LUCRO líquido R$</t>
        </is>
      </c>
      <c r="N9" s="5" t="inlineStr">
        <is>
          <t xml:space="preserve">Margem líquida %</t>
        </is>
      </c>
    </row>
    <row r="10">
      <c r="A10" t="inlineStr">
        <is>
          <t xml:space="preserve">Caneca personalizada</t>
        </is>
      </c>
      <c r="B10" s="8">
        <v>7</v>
      </c>
      <c r="C10" s="8">
        <v>3</v>
      </c>
      <c r="D10" s="8">
        <v>6</v>
      </c>
      <c r="E10" s="8">
        <v>0</v>
      </c>
      <c r="F10" s="2">
        <f>SUM(B10:E10)</f>
        <v>0</v>
      </c>
      <c r="G10" s="8">
        <v>15</v>
      </c>
      <c r="H10" s="2">
        <f>G10/60*$B$5</f>
        <v>0</v>
      </c>
      <c r="I10" s="4">
        <f>F10+H10</f>
        <v>0</v>
      </c>
      <c r="J10" s="2">
        <f>IF(I10=0,"",I10*$B$7)</f>
        <v>0</v>
      </c>
      <c r="K10" s="9">
        <f>IF(I10=0,"",ROUND(I10*$B$7,0))</f>
        <v>0</v>
      </c>
      <c r="L10" s="2">
        <f>IF(K10="","",K10*$B$6)</f>
        <v>0</v>
      </c>
      <c r="M10" s="4">
        <f>IF(K10="","",K10-I10-L10)</f>
        <v>0</v>
      </c>
      <c r="N10" s="3">
        <f>IF(K10="","",(K10-I10-L10)/K10)</f>
        <v>0</v>
      </c>
    </row>
    <row r="11">
      <c r="A11" t="inlineStr">
        <is>
          <t xml:space="preserve">Kit presenteável (caneca+garrafa+flor+caixa)</t>
        </is>
      </c>
      <c r="B11" s="8">
        <v>22</v>
      </c>
      <c r="C11" s="8">
        <v>4</v>
      </c>
      <c r="D11" s="8">
        <v>14</v>
      </c>
      <c r="E11" s="8">
        <v>5</v>
      </c>
      <c r="F11" s="2">
        <f>SUM(B11:E11)</f>
        <v>0</v>
      </c>
      <c r="G11" s="8">
        <v>30</v>
      </c>
      <c r="H11" s="2">
        <f>G11/60*$B$5</f>
        <v>0</v>
      </c>
      <c r="I11" s="4">
        <f>F11+H11</f>
        <v>0</v>
      </c>
      <c r="J11" s="2">
        <f>IF(I11=0,"",I11*$B$7)</f>
        <v>0</v>
      </c>
      <c r="K11" s="9">
        <f>IF(I11=0,"",ROUND(I11*$B$7,0))</f>
        <v>0</v>
      </c>
      <c r="L11" s="2">
        <f>IF(K11="","",K11*$B$6)</f>
        <v>0</v>
      </c>
      <c r="M11" s="4">
        <f>IF(K11="","",K11-I11-L11)</f>
        <v>0</v>
      </c>
      <c r="N11" s="3">
        <f>IF(K11="","",(K11-I11-L11)/K11)</f>
        <v>0</v>
      </c>
    </row>
    <row r="12">
      <c r="A12" t="inlineStr">
        <is>
          <t xml:space="preserve">Xícara personalizada</t>
        </is>
      </c>
      <c r="B12" s="8">
        <v>9</v>
      </c>
      <c r="C12" s="8">
        <v>3</v>
      </c>
      <c r="D12" s="8">
        <v>6</v>
      </c>
      <c r="E12" s="8">
        <v>0</v>
      </c>
      <c r="F12" s="2">
        <f>SUM(B12:E12)</f>
        <v>0</v>
      </c>
      <c r="G12" s="8">
        <v>15</v>
      </c>
      <c r="H12" s="2">
        <f>G12/60*$B$5</f>
        <v>0</v>
      </c>
      <c r="I12" s="4">
        <f>F12+H12</f>
        <v>0</v>
      </c>
      <c r="J12" s="2">
        <f>IF(I12=0,"",I12*$B$7)</f>
        <v>0</v>
      </c>
      <c r="K12" s="9">
        <f>IF(I12=0,"",ROUND(I12*$B$7,0))</f>
        <v>0</v>
      </c>
      <c r="L12" s="2">
        <f>IF(K12="","",K12*$B$6)</f>
        <v>0</v>
      </c>
      <c r="M12" s="4">
        <f>IF(K12="","",K12-I12-L12)</f>
        <v>0</v>
      </c>
      <c r="N12" s="3">
        <f>IF(K12="","",(K12-I12-L12)/K12)</f>
        <v>0</v>
      </c>
    </row>
    <row r="13">
      <c r="A13" t="inlineStr">
        <is>
          <t xml:space="preserve">Caixa personalizada</t>
        </is>
      </c>
      <c r="B13" s="8">
        <v>0</v>
      </c>
      <c r="C13" s="8">
        <v>0</v>
      </c>
      <c r="D13" s="8">
        <v>12</v>
      </c>
      <c r="E13" s="8">
        <v>6</v>
      </c>
      <c r="F13" s="2">
        <f>SUM(B13:E13)</f>
        <v>0</v>
      </c>
      <c r="G13" s="8">
        <v>20</v>
      </c>
      <c r="H13" s="2">
        <f>G13/60*$B$5</f>
        <v>0</v>
      </c>
      <c r="I13" s="4">
        <f>F13+H13</f>
        <v>0</v>
      </c>
      <c r="J13" s="2">
        <f>IF(I13=0,"",I13*$B$7)</f>
        <v>0</v>
      </c>
      <c r="K13" s="9">
        <f>IF(I13=0,"",ROUND(I13*$B$7,0))</f>
        <v>0</v>
      </c>
      <c r="L13" s="2">
        <f>IF(K13="","",K13*$B$6)</f>
        <v>0</v>
      </c>
      <c r="M13" s="4">
        <f>IF(K13="","",K13-I13-L13)</f>
        <v>0</v>
      </c>
      <c r="N13" s="3">
        <f>IF(K13="","",(K13-I13-L13)/K13)</f>
        <v>0</v>
      </c>
    </row>
    <row r="14">
      <c r="A14" t="inlineStr">
        <is>
          <t xml:space="preserve">Papelaria criativa (kit)</t>
        </is>
      </c>
      <c r="B14" s="8">
        <v>0</v>
      </c>
      <c r="C14" s="8">
        <v>4</v>
      </c>
      <c r="D14" s="8">
        <v>5</v>
      </c>
      <c r="E14" s="8">
        <v>2</v>
      </c>
      <c r="F14" s="2">
        <f>SUM(B14:E14)</f>
        <v>0</v>
      </c>
      <c r="G14" s="8">
        <v>12</v>
      </c>
      <c r="H14" s="2">
        <f>G14/60*$B$5</f>
        <v>0</v>
      </c>
      <c r="I14" s="4">
        <f>F14+H14</f>
        <v>0</v>
      </c>
      <c r="J14" s="2">
        <f>IF(I14=0,"",I14*$B$7)</f>
        <v>0</v>
      </c>
      <c r="K14" s="9">
        <f>IF(I14=0,"",ROUND(I14*$B$7,0))</f>
        <v>0</v>
      </c>
      <c r="L14" s="2">
        <f>IF(K14="","",K14*$B$6)</f>
        <v>0</v>
      </c>
      <c r="M14" s="4">
        <f>IF(K14="","",K14-I14-L14)</f>
        <v>0</v>
      </c>
      <c r="N14" s="3">
        <f>IF(K14="","",(K14-I14-L14)/K14)</f>
        <v>0</v>
      </c>
    </row>
    <row r="15">
      <c r="A15"/>
      <c r="B15" s="8"/>
      <c r="C15" s="8"/>
      <c r="D15" s="8"/>
      <c r="E15" s="8"/>
      <c r="F15" s="2">
        <f>SUM(B15:E15)</f>
        <v>0</v>
      </c>
      <c r="G15" s="8"/>
      <c r="H15" s="2">
        <f>G15/60*$B$5</f>
        <v>0</v>
      </c>
      <c r="I15" s="4">
        <f>F15+H15</f>
        <v>0</v>
      </c>
      <c r="J15" s="2">
        <f>IF(I15=0,"",I15*$B$7)</f>
        <v>0</v>
      </c>
      <c r="K15" s="9">
        <f>IF(I15=0,"",ROUND(I15*$B$7,0))</f>
        <v>0</v>
      </c>
      <c r="L15" s="2">
        <f>IF(K15="","",K15*$B$6)</f>
        <v>0</v>
      </c>
      <c r="M15" s="4">
        <f>IF(K15="","",K15-I15-L15)</f>
        <v>0</v>
      </c>
      <c r="N15" s="3">
        <f>IF(K15="","",(K15-I15-L15)/K15)</f>
        <v>0</v>
      </c>
    </row>
    <row r="16">
      <c r="A16"/>
      <c r="B16" s="8"/>
      <c r="C16" s="8"/>
      <c r="D16" s="8"/>
      <c r="E16" s="8"/>
      <c r="F16" s="2">
        <f>SUM(B16:E16)</f>
        <v>0</v>
      </c>
      <c r="G16" s="8"/>
      <c r="H16" s="2">
        <f>G16/60*$B$5</f>
        <v>0</v>
      </c>
      <c r="I16" s="4">
        <f>F16+H16</f>
        <v>0</v>
      </c>
      <c r="J16" s="2">
        <f>IF(I16=0,"",I16*$B$7)</f>
        <v>0</v>
      </c>
      <c r="K16" s="9">
        <f>IF(I16=0,"",ROUND(I16*$B$7,0))</f>
        <v>0</v>
      </c>
      <c r="L16" s="2">
        <f>IF(K16="","",K16*$B$6)</f>
        <v>0</v>
      </c>
      <c r="M16" s="4">
        <f>IF(K16="","",K16-I16-L16)</f>
        <v>0</v>
      </c>
      <c r="N16" s="3">
        <f>IF(K16="","",(K16-I16-L16)/K16)</f>
        <v>0</v>
      </c>
    </row>
    <row r="17">
      <c r="A17"/>
      <c r="B17" s="8"/>
      <c r="C17" s="8"/>
      <c r="D17" s="8"/>
      <c r="E17" s="8"/>
      <c r="F17" s="2">
        <f>SUM(B17:E17)</f>
        <v>0</v>
      </c>
      <c r="G17" s="8"/>
      <c r="H17" s="2">
        <f>G17/60*$B$5</f>
        <v>0</v>
      </c>
      <c r="I17" s="4">
        <f>F17+H17</f>
        <v>0</v>
      </c>
      <c r="J17" s="2">
        <f>IF(I17=0,"",I17*$B$7)</f>
        <v>0</v>
      </c>
      <c r="K17" s="9">
        <f>IF(I17=0,"",ROUND(I17*$B$7,0))</f>
        <v>0</v>
      </c>
      <c r="L17" s="2">
        <f>IF(K17="","",K17*$B$6)</f>
        <v>0</v>
      </c>
      <c r="M17" s="4">
        <f>IF(K17="","",K17-I17-L17)</f>
        <v>0</v>
      </c>
      <c r="N17" s="3">
        <f>IF(K17="","",(K17-I17-L17)/K17)</f>
        <v>0</v>
      </c>
    </row>
    <row r="18">
      <c r="A18"/>
      <c r="B18" s="8"/>
      <c r="C18" s="8"/>
      <c r="D18" s="8"/>
      <c r="E18" s="8"/>
      <c r="F18" s="2">
        <f>SUM(B18:E18)</f>
        <v>0</v>
      </c>
      <c r="G18" s="8"/>
      <c r="H18" s="2">
        <f>G18/60*$B$5</f>
        <v>0</v>
      </c>
      <c r="I18" s="4">
        <f>F18+H18</f>
        <v>0</v>
      </c>
      <c r="J18" s="2">
        <f>IF(I18=0,"",I18*$B$7)</f>
        <v>0</v>
      </c>
      <c r="K18" s="9">
        <f>IF(I18=0,"",ROUND(I18*$B$7,0))</f>
        <v>0</v>
      </c>
      <c r="L18" s="2">
        <f>IF(K18="","",K18*$B$6)</f>
        <v>0</v>
      </c>
      <c r="M18" s="4">
        <f>IF(K18="","",K18-I18-L18)</f>
        <v>0</v>
      </c>
      <c r="N18" s="3">
        <f>IF(K18="","",(K18-I18-L18)/K18)</f>
        <v>0</v>
      </c>
    </row>
    <row r="19">
      <c r="A19"/>
      <c r="B19" s="8"/>
      <c r="C19" s="8"/>
      <c r="D19" s="8"/>
      <c r="E19" s="8"/>
      <c r="F19" s="2">
        <f>SUM(B19:E19)</f>
        <v>0</v>
      </c>
      <c r="G19" s="8"/>
      <c r="H19" s="2">
        <f>G19/60*$B$5</f>
        <v>0</v>
      </c>
      <c r="I19" s="4">
        <f>F19+H19</f>
        <v>0</v>
      </c>
      <c r="J19" s="2">
        <f>IF(I19=0,"",I19*$B$7)</f>
        <v>0</v>
      </c>
      <c r="K19" s="9">
        <f>IF(I19=0,"",ROUND(I19*$B$7,0))</f>
        <v>0</v>
      </c>
      <c r="L19" s="2">
        <f>IF(K19="","",K19*$B$6)</f>
        <v>0</v>
      </c>
      <c r="M19" s="4">
        <f>IF(K19="","",K19-I19-L19)</f>
        <v>0</v>
      </c>
      <c r="N19" s="3">
        <f>IF(K19="","",(K19-I19-L19)/K19)</f>
        <v>0</v>
      </c>
    </row>
    <row r="20">
      <c r="A20"/>
      <c r="B20" s="8"/>
      <c r="C20" s="8"/>
      <c r="D20" s="8"/>
      <c r="E20" s="8"/>
      <c r="F20" s="2">
        <f>SUM(B20:E20)</f>
        <v>0</v>
      </c>
      <c r="G20" s="8"/>
      <c r="H20" s="2">
        <f>G20/60*$B$5</f>
        <v>0</v>
      </c>
      <c r="I20" s="4">
        <f>F20+H20</f>
        <v>0</v>
      </c>
      <c r="J20" s="2">
        <f>IF(I20=0,"",I20*$B$7)</f>
        <v>0</v>
      </c>
      <c r="K20" s="9">
        <f>IF(I20=0,"",ROUND(I20*$B$7,0))</f>
        <v>0</v>
      </c>
      <c r="L20" s="2">
        <f>IF(K20="","",K20*$B$6)</f>
        <v>0</v>
      </c>
      <c r="M20" s="4">
        <f>IF(K20="","",K20-I20-L20)</f>
        <v>0</v>
      </c>
      <c r="N20" s="3">
        <f>IF(K20="","",(K20-I20-L20)/K20)</f>
        <v>0</v>
      </c>
    </row>
    <row r="21">
      <c r="A21"/>
      <c r="B21" s="8"/>
      <c r="C21" s="8"/>
      <c r="D21" s="8"/>
      <c r="E21" s="8"/>
      <c r="F21" s="2">
        <f>SUM(B21:E21)</f>
        <v>0</v>
      </c>
      <c r="G21" s="8"/>
      <c r="H21" s="2">
        <f>G21/60*$B$5</f>
        <v>0</v>
      </c>
      <c r="I21" s="4">
        <f>F21+H21</f>
        <v>0</v>
      </c>
      <c r="J21" s="2">
        <f>IF(I21=0,"",I21*$B$7)</f>
        <v>0</v>
      </c>
      <c r="K21" s="9">
        <f>IF(I21=0,"",ROUND(I21*$B$7,0))</f>
        <v>0</v>
      </c>
      <c r="L21" s="2">
        <f>IF(K21="","",K21*$B$6)</f>
        <v>0</v>
      </c>
      <c r="M21" s="4">
        <f>IF(K21="","",K21-I21-L21)</f>
        <v>0</v>
      </c>
      <c r="N21" s="3">
        <f>IF(K21="","",(K21-I21-L21)/K21)</f>
        <v>0</v>
      </c>
    </row>
    <row r="22">
      <c r="A22"/>
      <c r="B22" s="8"/>
      <c r="C22" s="8"/>
      <c r="D22" s="8"/>
      <c r="E22" s="8"/>
      <c r="F22" s="2">
        <f>SUM(B22:E22)</f>
        <v>0</v>
      </c>
      <c r="G22" s="8"/>
      <c r="H22" s="2">
        <f>G22/60*$B$5</f>
        <v>0</v>
      </c>
      <c r="I22" s="4">
        <f>F22+H22</f>
        <v>0</v>
      </c>
      <c r="J22" s="2">
        <f>IF(I22=0,"",I22*$B$7)</f>
        <v>0</v>
      </c>
      <c r="K22" s="9">
        <f>IF(I22=0,"",ROUND(I22*$B$7,0))</f>
        <v>0</v>
      </c>
      <c r="L22" s="2">
        <f>IF(K22="","",K22*$B$6)</f>
        <v>0</v>
      </c>
      <c r="M22" s="4">
        <f>IF(K22="","",K22-I22-L22)</f>
        <v>0</v>
      </c>
      <c r="N22" s="3">
        <f>IF(K22="","",(K22-I22-L22)/K22)</f>
        <v>0</v>
      </c>
    </row>
    <row r="23">
      <c r="A23"/>
      <c r="B23" s="8"/>
      <c r="C23" s="8"/>
      <c r="D23" s="8"/>
      <c r="E23" s="8"/>
      <c r="F23" s="2">
        <f>SUM(B23:E23)</f>
        <v>0</v>
      </c>
      <c r="G23" s="8"/>
      <c r="H23" s="2">
        <f>G23/60*$B$5</f>
        <v>0</v>
      </c>
      <c r="I23" s="4">
        <f>F23+H23</f>
        <v>0</v>
      </c>
      <c r="J23" s="2">
        <f>IF(I23=0,"",I23*$B$7)</f>
        <v>0</v>
      </c>
      <c r="K23" s="9">
        <f>IF(I23=0,"",ROUND(I23*$B$7,0))</f>
        <v>0</v>
      </c>
      <c r="L23" s="2">
        <f>IF(K23="","",K23*$B$6)</f>
        <v>0</v>
      </c>
      <c r="M23" s="4">
        <f>IF(K23="","",K23-I23-L23)</f>
        <v>0</v>
      </c>
      <c r="N23" s="3">
        <f>IF(K23="","",(K23-I23-L23)/K23)</f>
        <v>0</v>
      </c>
    </row>
    <row r="25">
      <c r="A25" s="7" t="inlineStr">
        <is>
          <t xml:space="preserve">Coluna 'Preço praticado' vem arredondada do sugerido — você pode digitar outro valor por cima.</t>
        </is>
      </c>
    </row>
  </sheetData>
</worksheet>
</file>

<file path=xl/worksheets/sheet2.xml><?xml version="1.0" encoding="utf-8"?>
<worksheet xmlns="http://schemas.openxmlformats.org/spreadsheetml/2006/main">
  <cols>
    <col min="1" max="1" width="44" customWidth="1"/>
    <col min="2" max="2" width="18" customWidth="1"/>
  </cols>
  <sheetData>
    <row r="1">
      <c r="A1" s="6" t="inlineStr">
        <is>
          <t xml:space="preserve">CASA OLI — Metas &amp; Ponto de Equilíbrio</t>
        </is>
      </c>
    </row>
    <row r="3">
      <c r="A3" s="7" t="inlineStr">
        <is>
          <t xml:space="preserve">Preencha as células AZUIS</t>
        </is>
      </c>
    </row>
    <row r="5">
      <c r="A5" t="inlineStr">
        <is>
          <t xml:space="preserve">Faturamento desejado / mês (R$)</t>
        </is>
      </c>
      <c r="B5" s="2">
        <v>2500</v>
      </c>
    </row>
    <row r="6">
      <c r="A6" t="inlineStr">
        <is>
          <t xml:space="preserve">Ticket médio por venda (R$)</t>
        </is>
      </c>
      <c r="B6" s="2">
        <v>60</v>
      </c>
    </row>
    <row r="7">
      <c r="A7" t="inlineStr">
        <is>
          <t xml:space="preserve">Custos fixos / mês (R$)</t>
        </is>
      </c>
      <c r="B7" s="2">
        <v>600</v>
      </c>
    </row>
    <row r="8">
      <c r="A8" t="inlineStr">
        <is>
          <t xml:space="preserve">Custos variáveis (% da receita)</t>
        </is>
      </c>
      <c r="B8" s="3">
        <v>0.35</v>
      </c>
    </row>
    <row r="10">
      <c r="A10" s="5" t="inlineStr">
        <is>
          <t xml:space="preserve">RESULTADO</t>
        </is>
      </c>
    </row>
    <row r="11">
      <c r="A11" t="inlineStr">
        <is>
          <t xml:space="preserve">Vendas necessárias / mês</t>
        </is>
      </c>
      <c r="B11" s="4">
        <f>IF(B6=0,0,ROUNDUP(B5/B6,0))</f>
        <v>0</v>
      </c>
    </row>
    <row r="12">
      <c r="A12" t="inlineStr">
        <is>
          <t xml:space="preserve">Vendas necessárias / semana</t>
        </is>
      </c>
      <c r="B12" s="4">
        <f>ROUNDUP(B11/4.3,0)</f>
        <v>0</v>
      </c>
    </row>
    <row r="13">
      <c r="A13" t="inlineStr">
        <is>
          <t xml:space="preserve">Custo variável total (R$)</t>
        </is>
      </c>
      <c r="B13" s="2">
        <f>B5*B8</f>
        <v>0</v>
      </c>
    </row>
    <row r="14">
      <c r="A14" t="inlineStr">
        <is>
          <t xml:space="preserve">Lucro estimado / mês (R$)</t>
        </is>
      </c>
      <c r="B14" s="4">
        <f>B5-B13-B7</f>
        <v>0</v>
      </c>
    </row>
    <row r="15">
      <c r="A15" t="inlineStr">
        <is>
          <t xml:space="preserve">Margem de lucro líquida %</t>
        </is>
      </c>
      <c r="B15" s="3">
        <f>IF(B5=0,0,(B5-B13-B7)/B5)</f>
        <v>0</v>
      </c>
    </row>
    <row r="16">
      <c r="A16" t="inlineStr">
        <is>
          <t xml:space="preserve">Faturamento p/ EMPATAR (ponto de equilíbrio R$)</t>
        </is>
      </c>
      <c r="B16" s="4">
        <f>IF((1-B8)=0,0,B7/(1-B8))</f>
        <v>0</v>
      </c>
    </row>
    <row r="18">
      <c r="A18" s="7" t="inlineStr">
        <is>
          <t xml:space="preserve">Ponto de equilíbrio = faturamento mínimo para não ter prejuízo.</t>
        </is>
      </c>
    </row>
  </sheetData>
</worksheet>
</file>